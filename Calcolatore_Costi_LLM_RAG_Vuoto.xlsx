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olatore Costi R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Nome Modello LLM</t>
        </is>
      </c>
      <c r="B1" s="1" t="inlineStr">
        <is>
          <t>Costo Input per 1M [$]</t>
        </is>
      </c>
      <c r="C1" s="1" t="inlineStr">
        <is>
          <t>Costo Output per 1M [$]</t>
        </is>
      </c>
      <c r="D1" s="1" t="inlineStr">
        <is>
          <t>Costo Embedding per 1M [$]</t>
        </is>
      </c>
      <c r="E1" s="1" t="inlineStr">
        <is>
          <t>Numero di PDF</t>
        </is>
      </c>
      <c r="F1" s="1" t="inlineStr">
        <is>
          <t>Pagine medie per PDF</t>
        </is>
      </c>
      <c r="G1" s="1" t="inlineStr">
        <is>
          <t>Query mensili stimate</t>
        </is>
      </c>
      <c r="H1" s="1" t="inlineStr">
        <is>
          <t>Token Input per query</t>
        </is>
      </c>
      <c r="I1" s="1" t="inlineStr">
        <is>
          <t>Token Output per query</t>
        </is>
      </c>
      <c r="J1" s="1" t="inlineStr">
        <is>
          <t>Token Totali KB (Auto)</t>
        </is>
      </c>
      <c r="K1" s="1" t="inlineStr">
        <is>
          <t>Costo Embedding Una Tantum [$] (Auto)</t>
        </is>
      </c>
      <c r="L1" s="1" t="inlineStr">
        <is>
          <t>Costo Input Mensile [$] (Auto)</t>
        </is>
      </c>
      <c r="M1" s="1" t="inlineStr">
        <is>
          <t>Costo Output Mensile [$] (Auto)</t>
        </is>
      </c>
      <c r="N1" s="1" t="inlineStr">
        <is>
          <t>Costo Totale Mensile [$] (Auto)</t>
        </is>
      </c>
    </row>
    <row r="2">
      <c r="J2" s="2">
        <f>IF(OR(ISBLANK(E2), ISBLANK(F2)), "", E2*F2*1000)</f>
        <v/>
      </c>
      <c r="K2" s="2">
        <f>IF(OR(ISBLANK(J2), ISBLANK(D2)), "", (J2/1000000)*D2)</f>
        <v/>
      </c>
      <c r="L2" s="2">
        <f>IF(OR(ISBLANK(G2), ISBLANK(H2), ISBLANK(B2)), "", (G2*H2/1000000)*B2)</f>
        <v/>
      </c>
      <c r="M2" s="2">
        <f>IF(OR(ISBLANK(G2), ISBLANK(I2), ISBLANK(C2)), "", (G2*I2/1000000)*C2)</f>
        <v/>
      </c>
      <c r="N2" s="2">
        <f>IF(OR(ISBLANK(L2), ISBLANK(M2)), "", L2+M2)</f>
        <v/>
      </c>
    </row>
    <row r="3">
      <c r="J3" s="2">
        <f>IF(OR(ISBLANK(E3), ISBLANK(F3)), "", E3*F3*1000)</f>
        <v/>
      </c>
      <c r="K3" s="2">
        <f>IF(OR(ISBLANK(J3), ISBLANK(D3)), "", (J3/1000000)*D3)</f>
        <v/>
      </c>
      <c r="L3" s="2">
        <f>IF(OR(ISBLANK(G3), ISBLANK(H3), ISBLANK(B3)), "", (G3*H3/1000000)*B3)</f>
        <v/>
      </c>
      <c r="M3" s="2">
        <f>IF(OR(ISBLANK(G3), ISBLANK(I3), ISBLANK(C3)), "", (G3*I3/1000000)*C3)</f>
        <v/>
      </c>
      <c r="N3" s="2">
        <f>IF(OR(ISBLANK(L3), ISBLANK(M3)), "", L3+M3)</f>
        <v/>
      </c>
    </row>
    <row r="4">
      <c r="J4" s="2">
        <f>IF(OR(ISBLANK(E4), ISBLANK(F4)), "", E4*F4*1000)</f>
        <v/>
      </c>
      <c r="K4" s="2">
        <f>IF(OR(ISBLANK(J4), ISBLANK(D4)), "", (J4/1000000)*D4)</f>
        <v/>
      </c>
      <c r="L4" s="2">
        <f>IF(OR(ISBLANK(G4), ISBLANK(H4), ISBLANK(B4)), "", (G4*H4/1000000)*B4)</f>
        <v/>
      </c>
      <c r="M4" s="2">
        <f>IF(OR(ISBLANK(G4), ISBLANK(I4), ISBLANK(C4)), "", (G4*I4/1000000)*C4)</f>
        <v/>
      </c>
      <c r="N4" s="2">
        <f>IF(OR(ISBLANK(L4), ISBLANK(M4)), "", L4+M4)</f>
        <v/>
      </c>
    </row>
    <row r="5">
      <c r="J5" s="2">
        <f>IF(OR(ISBLANK(E5), ISBLANK(F5)), "", E5*F5*1000)</f>
        <v/>
      </c>
      <c r="K5" s="2">
        <f>IF(OR(ISBLANK(J5), ISBLANK(D5)), "", (J5/1000000)*D5)</f>
        <v/>
      </c>
      <c r="L5" s="2">
        <f>IF(OR(ISBLANK(G5), ISBLANK(H5), ISBLANK(B5)), "", (G5*H5/1000000)*B5)</f>
        <v/>
      </c>
      <c r="M5" s="2">
        <f>IF(OR(ISBLANK(G5), ISBLANK(I5), ISBLANK(C5)), "", (G5*I5/1000000)*C5)</f>
        <v/>
      </c>
      <c r="N5" s="2">
        <f>IF(OR(ISBLANK(L5), ISBLANK(M5)), "", L5+M5)</f>
        <v/>
      </c>
    </row>
    <row r="6">
      <c r="J6" s="2">
        <f>IF(OR(ISBLANK(E6), ISBLANK(F6)), "", E6*F6*1000)</f>
        <v/>
      </c>
      <c r="K6" s="2">
        <f>IF(OR(ISBLANK(J6), ISBLANK(D6)), "", (J6/1000000)*D6)</f>
        <v/>
      </c>
      <c r="L6" s="2">
        <f>IF(OR(ISBLANK(G6), ISBLANK(H6), ISBLANK(B6)), "", (G6*H6/1000000)*B6)</f>
        <v/>
      </c>
      <c r="M6" s="2">
        <f>IF(OR(ISBLANK(G6), ISBLANK(I6), ISBLANK(C6)), "", (G6*I6/1000000)*C6)</f>
        <v/>
      </c>
      <c r="N6" s="2">
        <f>IF(OR(ISBLANK(L6), ISBLANK(M6)), "", L6+M6)</f>
        <v/>
      </c>
    </row>
    <row r="7">
      <c r="J7" s="2">
        <f>IF(OR(ISBLANK(E7), ISBLANK(F7)), "", E7*F7*1000)</f>
        <v/>
      </c>
      <c r="K7" s="2">
        <f>IF(OR(ISBLANK(J7), ISBLANK(D7)), "", (J7/1000000)*D7)</f>
        <v/>
      </c>
      <c r="L7" s="2">
        <f>IF(OR(ISBLANK(G7), ISBLANK(H7), ISBLANK(B7)), "", (G7*H7/1000000)*B7)</f>
        <v/>
      </c>
      <c r="M7" s="2">
        <f>IF(OR(ISBLANK(G7), ISBLANK(I7), ISBLANK(C7)), "", (G7*I7/1000000)*C7)</f>
        <v/>
      </c>
      <c r="N7" s="2">
        <f>IF(OR(ISBLANK(L7), ISBLANK(M7)), "", L7+M7)</f>
        <v/>
      </c>
    </row>
    <row r="8">
      <c r="J8" s="2">
        <f>IF(OR(ISBLANK(E8), ISBLANK(F8)), "", E8*F8*1000)</f>
        <v/>
      </c>
      <c r="K8" s="2">
        <f>IF(OR(ISBLANK(J8), ISBLANK(D8)), "", (J8/1000000)*D8)</f>
        <v/>
      </c>
      <c r="L8" s="2">
        <f>IF(OR(ISBLANK(G8), ISBLANK(H8), ISBLANK(B8)), "", (G8*H8/1000000)*B8)</f>
        <v/>
      </c>
      <c r="M8" s="2">
        <f>IF(OR(ISBLANK(G8), ISBLANK(I8), ISBLANK(C8)), "", (G8*I8/1000000)*C8)</f>
        <v/>
      </c>
      <c r="N8" s="2">
        <f>IF(OR(ISBLANK(L8), ISBLANK(M8)), "", L8+M8)</f>
        <v/>
      </c>
    </row>
    <row r="9">
      <c r="J9" s="2">
        <f>IF(OR(ISBLANK(E9), ISBLANK(F9)), "", E9*F9*1000)</f>
        <v/>
      </c>
      <c r="K9" s="2">
        <f>IF(OR(ISBLANK(J9), ISBLANK(D9)), "", (J9/1000000)*D9)</f>
        <v/>
      </c>
      <c r="L9" s="2">
        <f>IF(OR(ISBLANK(G9), ISBLANK(H9), ISBLANK(B9)), "", (G9*H9/1000000)*B9)</f>
        <v/>
      </c>
      <c r="M9" s="2">
        <f>IF(OR(ISBLANK(G9), ISBLANK(I9), ISBLANK(C9)), "", (G9*I9/1000000)*C9)</f>
        <v/>
      </c>
      <c r="N9" s="2">
        <f>IF(OR(ISBLANK(L9), ISBLANK(M9)), "", L9+M9)</f>
        <v/>
      </c>
    </row>
    <row r="10">
      <c r="J10" s="2">
        <f>IF(OR(ISBLANK(E10), ISBLANK(F10)), "", E10*F10*1000)</f>
        <v/>
      </c>
      <c r="K10" s="2">
        <f>IF(OR(ISBLANK(J10), ISBLANK(D10)), "", (J10/1000000)*D10)</f>
        <v/>
      </c>
      <c r="L10" s="2">
        <f>IF(OR(ISBLANK(G10), ISBLANK(H10), ISBLANK(B10)), "", (G10*H10/1000000)*B10)</f>
        <v/>
      </c>
      <c r="M10" s="2">
        <f>IF(OR(ISBLANK(G10), ISBLANK(I10), ISBLANK(C10)), "", (G10*I10/1000000)*C10)</f>
        <v/>
      </c>
      <c r="N10" s="2">
        <f>IF(OR(ISBLANK(L10), ISBLANK(M10)), "", L10+M10)</f>
        <v/>
      </c>
    </row>
    <row r="11">
      <c r="J11" s="2">
        <f>IF(OR(ISBLANK(E11), ISBLANK(F11)), "", E11*F11*1000)</f>
        <v/>
      </c>
      <c r="K11" s="2">
        <f>IF(OR(ISBLANK(J11), ISBLANK(D11)), "", (J11/1000000)*D11)</f>
        <v/>
      </c>
      <c r="L11" s="2">
        <f>IF(OR(ISBLANK(G11), ISBLANK(H11), ISBLANK(B11)), "", (G11*H11/1000000)*B11)</f>
        <v/>
      </c>
      <c r="M11" s="2">
        <f>IF(OR(ISBLANK(G11), ISBLANK(I11), ISBLANK(C11)), "", (G11*I11/1000000)*C11)</f>
        <v/>
      </c>
      <c r="N11" s="2">
        <f>IF(OR(ISBLANK(L11), ISBLANK(M11)), "", L11+M11)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2026-02-20T21:16:01Z</dcterms:created>
  <dcterms:modified xmlns:dcterms="http://purl.org/dc/terms/" xmlns:xsi="http://www.w3.org/2001/XMLSchema-instance" xsi:type="dcterms:W3CDTF">2026-02-20T21:16:01Z</dcterms:modified>
</cp:coreProperties>
</file>